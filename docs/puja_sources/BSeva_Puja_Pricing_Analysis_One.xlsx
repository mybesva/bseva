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uja Pricing Analysi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<sst xmlns="http://schemas.openxmlformats.org/spreadsheetml/2006/main" count="166" uniqueCount="118">
  <si>
    <t xml:space="preserve">B-SEVA — PUJA COMPETITOR PRICE ANALYSIS &amp; SUGGESTED STARTING PRICES</t>
  </si>
  <si>
    <t xml:space="preserve">Primary benchmark: Gopuja.com (Bangalore) — direct in-home pandit + samagri model, closest match to B-Seva. Cross-checked against PujaBooking.com, OnlinePujaBooking.com, PujaHetu.com, YatraDham.org.</t>
  </si>
  <si>
    <t xml:space="preserve">Launch Discount vs. Gopuja benchmark:</t>
  </si>
  <si>
    <t xml:space="preserve">← Editable input. Suggested prices below recalculate automatically. Rounded to nearest ₹99 psychological price point.</t>
  </si>
  <si>
    <t xml:space="preserve">#</t>
  </si>
  <si>
    <t xml:space="preserve">Puja / Service</t>
  </si>
  <si>
    <t xml:space="preserve">Category</t>
  </si>
  <si>
    <t xml:space="preserve">Typical
Duration</t>
  </si>
  <si>
    <t xml:space="preserve">Gopuja.com
Bangalore Price (₹)
[benchmark]</t>
  </si>
  <si>
    <t xml:space="preserve">Other Platforms—Market Range (₹)</t>
  </si>
  <si>
    <t xml:space="preserve">Price Data
Confidence</t>
  </si>
  <si>
    <t xml:space="preserve">Suggested B-Seva
Starting Price (₹)</t>
  </si>
  <si>
    <t xml:space="preserve">Notes / Primary Source</t>
  </si>
  <si>
    <t xml:space="preserve">Namakarana (Naming Ceremony)</t>
  </si>
  <si>
    <t xml:space="preserve">Samskara (Life-cycle rite)</t>
  </si>
  <si>
    <t xml:space="preserve">2–3 hrs</t>
  </si>
  <si>
    <t xml:space="preserve">2,000–4,000 (PujaBooking.com, PujaPurohit)</t>
  </si>
  <si>
    <t xml:space="preserve">High</t>
  </si>
  <si>
    <t xml:space="preserve">Gopuja starting price gopuja.com/services/namakarana; elaborate version listed at ₹4,999 on Gopuja blog.</t>
  </si>
  <si>
    <t xml:space="preserve">Annaprashana (First Rice-Feeding)</t>
  </si>
  <si>
    <t xml:space="preserve">1–2 hrs</t>
  </si>
  <si>
    <t xml:space="preserve">1,800–3,500 (PujaBooking.com)</t>
  </si>
  <si>
    <t xml:space="preserve">gopuja.com/services/annaprashana (area page, e.g. Ulsoor).</t>
  </si>
  <si>
    <t xml:space="preserve">Seemantham / Godh Bharai (Baby Shower)</t>
  </si>
  <si>
    <t xml:space="preserve">3,000–6,000 (PujaHetu.com)</t>
  </si>
  <si>
    <t xml:space="preserve">gopuja.com Mysore/area listing — Vedic baby-shower samskara, 7th–8th month.</t>
  </si>
  <si>
    <t xml:space="preserve">Upanayanam (Sacred Thread Ceremony)</t>
  </si>
  <si>
    <t xml:space="preserve">4–6 hrs (est.)</t>
  </si>
  <si>
    <t xml:space="preserve">6,000–15,000 (PujaBooking.com, general market)</t>
  </si>
  <si>
    <t xml:space="preserve">Estimated</t>
  </si>
  <si>
    <t xml:space="preserve">Service confirmed on gopuja.com/services/upanayanam; exact starting price not published on pages seen — estimated from comparable-complexity samskaras/homams.</t>
  </si>
  <si>
    <t xml:space="preserve">Satyanarayan Puja</t>
  </si>
  <si>
    <t xml:space="preserve">General / Most-booked</t>
  </si>
  <si>
    <t xml:space="preserve">2,999–8,599 (PujaBooking.com, OnlinePujaBooking.com)</t>
  </si>
  <si>
    <t xml:space="preserve">gopuja.com/pricing (site-wide) and gopuja.com/blog/satyanarayan-puja-cost-bangalore; area pages show ₹2,999 in outer zones.</t>
  </si>
  <si>
    <t xml:space="preserve">Grihapravesha Puja (Housewarming)</t>
  </si>
  <si>
    <t xml:space="preserve">Life Event</t>
  </si>
  <si>
    <t xml:space="preserve">3–4 hrs</t>
  </si>
  <si>
    <t xml:space="preserve">6,499–55,399 (PujaBooking.com — wide range incl. premium tiers)</t>
  </si>
  <si>
    <t xml:space="preserve">gopuja.com/services/grihapravesha-puja and gopuja.com/pricing.</t>
  </si>
  <si>
    <t xml:space="preserve">Vastu Shanti Puja</t>
  </si>
  <si>
    <t xml:space="preserve">5,000–12,000 (general market)</t>
  </si>
  <si>
    <t xml:space="preserve">gopuja.com/blog/vastu-shanti-puja-when-to-perform (₹6,999 all-inclusive); area pages show ₹6,499.</t>
  </si>
  <si>
    <t xml:space="preserve">Bhoomi Puja (Ground-breaking)</t>
  </si>
  <si>
    <t xml:space="preserve">4,000–8,000 (general market)</t>
  </si>
  <si>
    <t xml:space="preserve">gopuja.com/mysore and gopuja.com/pricing overview listing.</t>
  </si>
  <si>
    <t xml:space="preserve">New Shop / Office Opening Puja</t>
  </si>
  <si>
    <t xml:space="preserve">Business</t>
  </si>
  <si>
    <t xml:space="preserve">2–3 hrs (est.)</t>
  </si>
  <si>
    <t xml:space="preserve">3,500–9,000 (general market)</t>
  </si>
  <si>
    <t xml:space="preserve">Service confirmed on gopuja.com/services/new-shop-opening-puja; exact starting price not shown on pages seen — estimated at parity with similarly-scoped Ganapathi Homam + Lakshmi Puja combination.</t>
  </si>
  <si>
    <t xml:space="preserve">Ganapathi Homam</t>
  </si>
  <si>
    <t xml:space="preserve">Homam (Fire ritual)</t>
  </si>
  <si>
    <t xml:space="preserve">gopuja.com/blog/homam-types-cost-bangalore.</t>
  </si>
  <si>
    <t xml:space="preserve">Navagraha Shanti Homam</t>
  </si>
  <si>
    <t xml:space="preserve">6,000–15,000 (general market)</t>
  </si>
  <si>
    <t xml:space="preserve">Ayush Homam (Longevity, basic)</t>
  </si>
  <si>
    <t xml:space="preserve">3,500–8,500 (general market)</t>
  </si>
  <si>
    <t xml:space="preserve">gopuja.com/services/ayush-homam (area page). Elaborate milestone-birthday version priced ₹8,499 per Gopuja blog.</t>
  </si>
  <si>
    <t xml:space="preserve">Maha Mrutyunjaya Homam / Japa</t>
  </si>
  <si>
    <t xml:space="preserve">3–5 hrs</t>
  </si>
  <si>
    <t xml:space="preserve">12,000–35,000+ (PujaBooking.com, Mulugu.com — scales sharply with mantra count/team size)</t>
  </si>
  <si>
    <t xml:space="preserve">gopuja.com/pricing: “large homas (like Maha Mrutyunjaya) start from ₹15,999.”</t>
  </si>
  <si>
    <t xml:space="preserve">Rudrabhishekam (standard)</t>
  </si>
  <si>
    <t xml:space="preserve">Homam / Abhishekam</t>
  </si>
  <si>
    <t xml:space="preserve">2–4 hrs</t>
  </si>
  <si>
    <t xml:space="preserve">4,459–24,599 (PujaBooking.com — Laghu to Maha Rudrabhishek tiers)</t>
  </si>
  <si>
    <t xml:space="preserve">gopuja.com area pages (e.g. Varthur, Chandapura). Extended 11-chapter Sri Rudram version priced ₹6,999 per Gopuja blog.</t>
  </si>
  <si>
    <t xml:space="preserve">Go Puja (Sacred Cow Worship)</t>
  </si>
  <si>
    <t xml:space="preserve">Special / Devotional</t>
  </si>
  <si>
    <t xml:space="preserve">1–2 hrs (est.)</t>
  </si>
  <si>
    <t xml:space="preserve">3,000–7,000 (general market)</t>
  </si>
  <si>
    <t xml:space="preserve">gopuja.com/services/gopuja (area pages, e.g. Kudlu, Girinagar).</t>
  </si>
  <si>
    <t xml:space="preserve">Sharada Puja (Saraswati)</t>
  </si>
  <si>
    <t xml:space="preserve">Deity-specific</t>
  </si>
  <si>
    <t xml:space="preserve">3,000–6,000 (general market)</t>
  </si>
  <si>
    <t xml:space="preserve">gopuja.com/services/sharada-puja (area page, e.g. Jalahalli).</t>
  </si>
  <si>
    <t xml:space="preserve">Vivaha / Wedding Puja (full ceremony)</t>
  </si>
  <si>
    <t xml:space="preserve">Life Event (Wedding)</t>
  </si>
  <si>
    <t xml:space="preserve">10,000–50,000+ (highly variable by scale/venue, general market)</t>
  </si>
  <si>
    <t xml:space="preserve">gopuja.com/services/vivaha-wedding-puja (area pages, e.g. Koramangala, JP Nagar).</t>
  </si>
  <si>
    <t xml:space="preserve">Sashti Abdapoorthi (60th Year Shanti)</t>
  </si>
  <si>
    <t xml:space="preserve">Milestone Shanti</t>
  </si>
  <si>
    <t xml:space="preserve">8,000–15,000 (general market)</t>
  </si>
  <si>
    <t xml:space="preserve">gopuja.com/mysore listing — marks completion of a Jupiter cycle.</t>
  </si>
  <si>
    <t xml:space="preserve">Bheemaratha Shanti (70th Year)</t>
  </si>
  <si>
    <t xml:space="preserve">5–6 hrs</t>
  </si>
  <si>
    <t xml:space="preserve">gopuja.com/mysore listing.</t>
  </si>
  <si>
    <t xml:space="preserve">Sahasra Chandra Darshana (80th Year)</t>
  </si>
  <si>
    <t xml:space="preserve">5–7 hrs</t>
  </si>
  <si>
    <t xml:space="preserve">9,000–18,000 (general market)</t>
  </si>
  <si>
    <t xml:space="preserve">gopuja.com/mysore listing — 1000 full-moons milestone.</t>
  </si>
  <si>
    <t xml:space="preserve">Navratri Durga Puja (per day / 9-day package)</t>
  </si>
  <si>
    <t xml:space="preserve">Festival</t>
  </si>
  <si>
    <t xml:space="preserve">2–3 hrs/day × 9 days</t>
  </si>
  <si>
    <t xml:space="preserve">3,750–20,999 for Kalash Sthapana + Havan packages (PujaBooking.com)</t>
  </si>
  <si>
    <t xml:space="preserve">Duration confirmed on gopuja.com area pages; per-day/package starting price not published on pages seen — estimated at Satyanarayan-level per-day rate; consider a discounted 9-day bundle.</t>
  </si>
  <si>
    <t xml:space="preserve">Ganesh Chaturthi Puja (installation + aarti)</t>
  </si>
  <si>
    <t xml:space="preserve">3–4 hrs + daily aarti (1/5/11 days)</t>
  </si>
  <si>
    <t xml:space="preserve">3,000–12,000 depending on days (general market)</t>
  </si>
  <si>
    <t xml:space="preserve">Duration/format confirmed on gopuja.com area pages; starting price not published on pages seen — estimated for 1-day format; scale up for 5/11-day durations.</t>
  </si>
  <si>
    <t xml:space="preserve">Diwali Lakshmi-Kubera Puja</t>
  </si>
  <si>
    <t xml:space="preserve">2,500–7,000 (general market)</t>
  </si>
  <si>
    <t xml:space="preserve">Kit contents confirmed on gopuja.com/puja-kits; puja-with-pandit starting price not published on pages seen — estimated at Satyanarayan-adjacent rate.</t>
  </si>
  <si>
    <t xml:space="preserve">Puja Samagri Kit Only (no pandit)</t>
  </si>
  <si>
    <t xml:space="preserve">Add-on / Product</t>
  </si>
  <si>
    <t xml:space="preserve">N/A — delivery only</t>
  </si>
  <si>
    <t xml:space="preserve">400–900 (general market, kit-only)</t>
  </si>
  <si>
    <t xml:space="preserve">gopuja.com/pricing FAQ: “samagri kit separately starting ₹499.”</t>
  </si>
  <si>
    <t xml:space="preserve">Average / Range across all listed pujas</t>
  </si>
  <si>
    <t xml:space="preserve">Min – Max</t>
  </si>
  <si>
    <t xml:space="preserve">METHODOLOGY &amp; CAVEATS</t>
  </si>
  <si>
    <t xml:space="preserve">1. Gopuja.com (Bangalore) is used as the primary benchmark because its business model — verified pandit + doorstep samagri kit, fixed all-inclusive price — most closely matches B-Seva's planned model.</t>
  </si>
  <si>
    <t xml:space="preserve">2. “Other Platforms—Market Range” draws on PujaBooking.com, OnlinePujaBooking.com, PujaHetu.com and YatraDham.org, which mix in-home, temple, and live-streamed remote puja formats — their ranges run wider and are shown for context, not as a direct comp.</t>
  </si>
  <si>
    <t xml:space="preserve">3. Rows marked “Estimated” in the Confidence column had a confirmed service listing and duration on Gopuja's site, but no explicit starting price visible on the pages retrieved — these are inferred from comparable-complexity rituals, not quoted prices. Verify directly (e.g., their WhatsApp quote flow) before finalizing.</t>
  </si>
  <si>
    <t xml:space="preserve">4. All Gopuja prices are the publicly listed “starting from” figures; final quotes vary with number of pandits, samagri tier (e.g. silver vs brass kalash), and travel to outer zones — same dynamic will likely apply to B-Seva.</t>
  </si>
  <si>
    <t xml:space="preserve">5. Suggested B-Seva Starting Price = Gopuja benchmark price × (1 − Launch Discount), rounded to the nearest ₹99. The 8% default launch discount is a positioning lever for market entry, not a cost-based calculation — recalibrate once B-Seva's actual pandit dakshina and samagri procurement costs are known, to confirm each price still clears a healthy margin.</t>
  </si>
  <si>
    <t xml:space="preserve">6. Prices are for Bangalore; other B-Seva launch cities (Hyderabad, etc.) should be re-benchmarked against local competitors — city-level pandit dakshina and samagri costs vary.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</si>
</sst>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%"/>
    <numFmt numFmtId="166" formatCode="\₹#,##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C55A11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i val="true"/>
      <sz val="10"/>
      <color rgb="FFC0000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C55A11"/>
      <name val="Arial"/>
      <family val="0"/>
      <charset val="1"/>
    </font>
    <font>
      <i val="true"/>
      <sz val="9"/>
      <color rgb="FF40404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864"/>
        <bgColor rgb="FF333399"/>
      </patternFill>
    </fill>
    <fill>
      <patternFill patternType="solid">
        <fgColor rgb="FFFCE4D6"/>
        <bgColor rgb="FFF2F2F2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6" fontId="11" fillId="0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6" fontId="12" fillId="4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6" fontId="11" fillId="5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C55A11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4"/>
    <col collapsed="false" customWidth="true" hidden="false" outlineLevel="0" max="3" min="3" style="0" width="20"/>
    <col collapsed="false" customWidth="true" hidden="false" outlineLevel="0" max="5" min="4" style="0" width="16"/>
    <col collapsed="false" customWidth="true" hidden="false" outlineLevel="0" max="6" min="6" style="0" width="32"/>
    <col collapsed="false" customWidth="true" hidden="false" outlineLevel="0" max="7" min="7" style="0" width="12"/>
    <col collapsed="false" customWidth="true" hidden="false" outlineLevel="0" max="8" min="8" style="0" width="18"/>
    <col collapsed="false" customWidth="true" hidden="false" outlineLevel="0" max="9" min="9" style="0" width="46"/>
  </cols>
  <sheetData>
    <row r="1" customFormat="false" ht="18.5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4" customFormat="false" ht="15" hidden="false" customHeight="false" outlineLevel="0" collapsed="false">
      <c r="A4" s="3" t="s">
        <v>2</v>
      </c>
      <c r="B4" s="3"/>
      <c r="C4" s="3"/>
      <c r="D4" s="4" t="n">
        <v>0.08</v>
      </c>
      <c r="E4" s="2" t="s">
        <v>3</v>
      </c>
      <c r="F4" s="2"/>
      <c r="G4" s="2"/>
      <c r="H4" s="2"/>
      <c r="I4" s="2"/>
    </row>
    <row r="6" customFormat="false" ht="33.75" hidden="false" customHeight="true" outlineLevel="0" collapsed="false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5" t="s">
        <v>10</v>
      </c>
      <c r="H6" s="5" t="s">
        <v>11</v>
      </c>
      <c r="I6" s="5" t="s">
        <v>12</v>
      </c>
    </row>
    <row r="7" customFormat="false" ht="42" hidden="false" customHeight="true" outlineLevel="0" collapsed="false">
      <c r="A7" s="6" t="n">
        <v>1</v>
      </c>
      <c r="B7" s="7" t="s">
        <v>13</v>
      </c>
      <c r="C7" s="8" t="s">
        <v>14</v>
      </c>
      <c r="D7" s="6" t="s">
        <v>15</v>
      </c>
      <c r="E7" s="9" t="n">
        <v>2999</v>
      </c>
      <c r="F7" s="8" t="s">
        <v>16</v>
      </c>
      <c r="G7" s="6" t="s">
        <v>17</v>
      </c>
      <c r="H7" s="10" t="n">
        <f aca="false">MROUND(E7*(1-$D$4),100)-1</f>
        <v>2799</v>
      </c>
      <c r="I7" s="8" t="s">
        <v>18</v>
      </c>
    </row>
    <row r="8" customFormat="false" ht="42" hidden="false" customHeight="true" outlineLevel="0" collapsed="false">
      <c r="A8" s="11" t="n">
        <v>2</v>
      </c>
      <c r="B8" s="12" t="s">
        <v>19</v>
      </c>
      <c r="C8" s="13" t="s">
        <v>14</v>
      </c>
      <c r="D8" s="11" t="s">
        <v>20</v>
      </c>
      <c r="E8" s="14" t="n">
        <v>2499</v>
      </c>
      <c r="F8" s="13" t="s">
        <v>21</v>
      </c>
      <c r="G8" s="11" t="s">
        <v>17</v>
      </c>
      <c r="H8" s="10" t="n">
        <f aca="false">MROUND(E8*(1-$D$4),100)-1</f>
        <v>2299</v>
      </c>
      <c r="I8" s="13" t="s">
        <v>22</v>
      </c>
    </row>
    <row r="9" customFormat="false" ht="42" hidden="false" customHeight="true" outlineLevel="0" collapsed="false">
      <c r="A9" s="6" t="n">
        <v>3</v>
      </c>
      <c r="B9" s="7" t="s">
        <v>23</v>
      </c>
      <c r="C9" s="8" t="s">
        <v>14</v>
      </c>
      <c r="D9" s="6" t="s">
        <v>15</v>
      </c>
      <c r="E9" s="9" t="n">
        <v>3999</v>
      </c>
      <c r="F9" s="8" t="s">
        <v>24</v>
      </c>
      <c r="G9" s="6" t="s">
        <v>17</v>
      </c>
      <c r="H9" s="10" t="n">
        <f aca="false">MROUND(E9*(1-$D$4),100)-1</f>
        <v>3699</v>
      </c>
      <c r="I9" s="8" t="s">
        <v>25</v>
      </c>
    </row>
    <row r="10" customFormat="false" ht="42" hidden="false" customHeight="true" outlineLevel="0" collapsed="false">
      <c r="A10" s="11" t="n">
        <v>4</v>
      </c>
      <c r="B10" s="12" t="s">
        <v>26</v>
      </c>
      <c r="C10" s="13" t="s">
        <v>14</v>
      </c>
      <c r="D10" s="11" t="s">
        <v>27</v>
      </c>
      <c r="E10" s="14" t="n">
        <v>9999</v>
      </c>
      <c r="F10" s="13" t="s">
        <v>28</v>
      </c>
      <c r="G10" s="15" t="s">
        <v>29</v>
      </c>
      <c r="H10" s="10" t="n">
        <f aca="false">MROUND(E10*(1-$D$4),100)-1</f>
        <v>9199</v>
      </c>
      <c r="I10" s="13" t="s">
        <v>30</v>
      </c>
    </row>
    <row r="11" customFormat="false" ht="42" hidden="false" customHeight="true" outlineLevel="0" collapsed="false">
      <c r="A11" s="6" t="n">
        <v>5</v>
      </c>
      <c r="B11" s="7" t="s">
        <v>31</v>
      </c>
      <c r="C11" s="8" t="s">
        <v>32</v>
      </c>
      <c r="D11" s="6" t="s">
        <v>15</v>
      </c>
      <c r="E11" s="9" t="n">
        <v>3499</v>
      </c>
      <c r="F11" s="8" t="s">
        <v>33</v>
      </c>
      <c r="G11" s="6" t="s">
        <v>17</v>
      </c>
      <c r="H11" s="10" t="n">
        <f aca="false">MROUND(E11*(1-$D$4),100)-1</f>
        <v>3199</v>
      </c>
      <c r="I11" s="8" t="s">
        <v>34</v>
      </c>
    </row>
    <row r="12" customFormat="false" ht="42" hidden="false" customHeight="true" outlineLevel="0" collapsed="false">
      <c r="A12" s="11" t="n">
        <v>6</v>
      </c>
      <c r="B12" s="12" t="s">
        <v>35</v>
      </c>
      <c r="C12" s="13" t="s">
        <v>36</v>
      </c>
      <c r="D12" s="11" t="s">
        <v>37</v>
      </c>
      <c r="E12" s="14" t="n">
        <v>7999</v>
      </c>
      <c r="F12" s="13" t="s">
        <v>38</v>
      </c>
      <c r="G12" s="11" t="s">
        <v>17</v>
      </c>
      <c r="H12" s="10" t="n">
        <f aca="false">MROUND(E12*(1-$D$4),100)-1</f>
        <v>7399</v>
      </c>
      <c r="I12" s="13" t="s">
        <v>39</v>
      </c>
    </row>
    <row r="13" customFormat="false" ht="42" hidden="false" customHeight="true" outlineLevel="0" collapsed="false">
      <c r="A13" s="6" t="n">
        <v>7</v>
      </c>
      <c r="B13" s="7" t="s">
        <v>40</v>
      </c>
      <c r="C13" s="8" t="s">
        <v>36</v>
      </c>
      <c r="D13" s="6" t="s">
        <v>37</v>
      </c>
      <c r="E13" s="9" t="n">
        <v>6999</v>
      </c>
      <c r="F13" s="8" t="s">
        <v>41</v>
      </c>
      <c r="G13" s="6" t="s">
        <v>17</v>
      </c>
      <c r="H13" s="10" t="n">
        <f aca="false">MROUND(E13*(1-$D$4),100)-1</f>
        <v>6399</v>
      </c>
      <c r="I13" s="8" t="s">
        <v>42</v>
      </c>
    </row>
    <row r="14" customFormat="false" ht="42" hidden="false" customHeight="true" outlineLevel="0" collapsed="false">
      <c r="A14" s="11" t="n">
        <v>8</v>
      </c>
      <c r="B14" s="12" t="s">
        <v>43</v>
      </c>
      <c r="C14" s="13" t="s">
        <v>36</v>
      </c>
      <c r="D14" s="11" t="s">
        <v>15</v>
      </c>
      <c r="E14" s="14" t="n">
        <v>5499</v>
      </c>
      <c r="F14" s="13" t="s">
        <v>44</v>
      </c>
      <c r="G14" s="11" t="s">
        <v>17</v>
      </c>
      <c r="H14" s="10" t="n">
        <f aca="false">MROUND(E14*(1-$D$4),100)-1</f>
        <v>5099</v>
      </c>
      <c r="I14" s="13" t="s">
        <v>45</v>
      </c>
    </row>
    <row r="15" customFormat="false" ht="42" hidden="false" customHeight="true" outlineLevel="0" collapsed="false">
      <c r="A15" s="6" t="n">
        <v>9</v>
      </c>
      <c r="B15" s="7" t="s">
        <v>46</v>
      </c>
      <c r="C15" s="8" t="s">
        <v>47</v>
      </c>
      <c r="D15" s="6" t="s">
        <v>48</v>
      </c>
      <c r="E15" s="9" t="n">
        <v>5999</v>
      </c>
      <c r="F15" s="8" t="s">
        <v>49</v>
      </c>
      <c r="G15" s="16" t="s">
        <v>29</v>
      </c>
      <c r="H15" s="10" t="n">
        <f aca="false">MROUND(E15*(1-$D$4),100)-1</f>
        <v>5499</v>
      </c>
      <c r="I15" s="8" t="s">
        <v>50</v>
      </c>
    </row>
    <row r="16" customFormat="false" ht="42" hidden="false" customHeight="true" outlineLevel="0" collapsed="false">
      <c r="A16" s="11" t="n">
        <v>10</v>
      </c>
      <c r="B16" s="12" t="s">
        <v>51</v>
      </c>
      <c r="C16" s="13" t="s">
        <v>52</v>
      </c>
      <c r="D16" s="11" t="s">
        <v>15</v>
      </c>
      <c r="E16" s="14" t="n">
        <v>5499</v>
      </c>
      <c r="F16" s="13" t="s">
        <v>49</v>
      </c>
      <c r="G16" s="11" t="s">
        <v>17</v>
      </c>
      <c r="H16" s="10" t="n">
        <f aca="false">MROUND(E16*(1-$D$4),100)-1</f>
        <v>5099</v>
      </c>
      <c r="I16" s="13" t="s">
        <v>53</v>
      </c>
    </row>
    <row r="17" customFormat="false" ht="42" hidden="false" customHeight="true" outlineLevel="0" collapsed="false">
      <c r="A17" s="6" t="n">
        <v>11</v>
      </c>
      <c r="B17" s="7" t="s">
        <v>54</v>
      </c>
      <c r="C17" s="8" t="s">
        <v>52</v>
      </c>
      <c r="D17" s="6" t="s">
        <v>37</v>
      </c>
      <c r="E17" s="9" t="n">
        <v>9999</v>
      </c>
      <c r="F17" s="8" t="s">
        <v>55</v>
      </c>
      <c r="G17" s="6" t="s">
        <v>17</v>
      </c>
      <c r="H17" s="10" t="n">
        <f aca="false">MROUND(E17*(1-$D$4),100)-1</f>
        <v>9199</v>
      </c>
      <c r="I17" s="8" t="s">
        <v>53</v>
      </c>
    </row>
    <row r="18" customFormat="false" ht="42" hidden="false" customHeight="true" outlineLevel="0" collapsed="false">
      <c r="A18" s="11" t="n">
        <v>12</v>
      </c>
      <c r="B18" s="12" t="s">
        <v>56</v>
      </c>
      <c r="C18" s="13" t="s">
        <v>52</v>
      </c>
      <c r="D18" s="11" t="s">
        <v>15</v>
      </c>
      <c r="E18" s="14" t="n">
        <v>4499</v>
      </c>
      <c r="F18" s="13" t="s">
        <v>57</v>
      </c>
      <c r="G18" s="11" t="s">
        <v>17</v>
      </c>
      <c r="H18" s="10" t="n">
        <f aca="false">MROUND(E18*(1-$D$4),100)-1</f>
        <v>4099</v>
      </c>
      <c r="I18" s="13" t="s">
        <v>58</v>
      </c>
    </row>
    <row r="19" customFormat="false" ht="42" hidden="false" customHeight="true" outlineLevel="0" collapsed="false">
      <c r="A19" s="6" t="n">
        <v>13</v>
      </c>
      <c r="B19" s="7" t="s">
        <v>59</v>
      </c>
      <c r="C19" s="8" t="s">
        <v>52</v>
      </c>
      <c r="D19" s="6" t="s">
        <v>60</v>
      </c>
      <c r="E19" s="9" t="n">
        <v>15999</v>
      </c>
      <c r="F19" s="8" t="s">
        <v>61</v>
      </c>
      <c r="G19" s="6" t="s">
        <v>17</v>
      </c>
      <c r="H19" s="10" t="n">
        <f aca="false">MROUND(E19*(1-$D$4),100)-1</f>
        <v>14699</v>
      </c>
      <c r="I19" s="8" t="s">
        <v>62</v>
      </c>
    </row>
    <row r="20" customFormat="false" ht="42" hidden="false" customHeight="true" outlineLevel="0" collapsed="false">
      <c r="A20" s="11" t="n">
        <v>14</v>
      </c>
      <c r="B20" s="12" t="s">
        <v>63</v>
      </c>
      <c r="C20" s="13" t="s">
        <v>64</v>
      </c>
      <c r="D20" s="11" t="s">
        <v>65</v>
      </c>
      <c r="E20" s="14" t="n">
        <v>3999</v>
      </c>
      <c r="F20" s="13" t="s">
        <v>66</v>
      </c>
      <c r="G20" s="11" t="s">
        <v>17</v>
      </c>
      <c r="H20" s="10" t="n">
        <f aca="false">MROUND(E20*(1-$D$4),100)-1</f>
        <v>3699</v>
      </c>
      <c r="I20" s="13" t="s">
        <v>67</v>
      </c>
    </row>
    <row r="21" customFormat="false" ht="42" hidden="false" customHeight="true" outlineLevel="0" collapsed="false">
      <c r="A21" s="6" t="n">
        <v>15</v>
      </c>
      <c r="B21" s="7" t="s">
        <v>68</v>
      </c>
      <c r="C21" s="8" t="s">
        <v>69</v>
      </c>
      <c r="D21" s="6" t="s">
        <v>70</v>
      </c>
      <c r="E21" s="9" t="n">
        <v>4999</v>
      </c>
      <c r="F21" s="8" t="s">
        <v>71</v>
      </c>
      <c r="G21" s="6" t="s">
        <v>17</v>
      </c>
      <c r="H21" s="10" t="n">
        <f aca="false">MROUND(E21*(1-$D$4),100)-1</f>
        <v>4599</v>
      </c>
      <c r="I21" s="8" t="s">
        <v>72</v>
      </c>
    </row>
    <row r="22" customFormat="false" ht="42" hidden="false" customHeight="true" outlineLevel="0" collapsed="false">
      <c r="A22" s="11" t="n">
        <v>16</v>
      </c>
      <c r="B22" s="12" t="s">
        <v>73</v>
      </c>
      <c r="C22" s="13" t="s">
        <v>74</v>
      </c>
      <c r="D22" s="11" t="s">
        <v>48</v>
      </c>
      <c r="E22" s="14" t="n">
        <v>4499</v>
      </c>
      <c r="F22" s="13" t="s">
        <v>75</v>
      </c>
      <c r="G22" s="11" t="s">
        <v>17</v>
      </c>
      <c r="H22" s="10" t="n">
        <f aca="false">MROUND(E22*(1-$D$4),100)-1</f>
        <v>4099</v>
      </c>
      <c r="I22" s="13" t="s">
        <v>76</v>
      </c>
    </row>
    <row r="23" customFormat="false" ht="42" hidden="false" customHeight="true" outlineLevel="0" collapsed="false">
      <c r="A23" s="6" t="n">
        <v>17</v>
      </c>
      <c r="B23" s="7" t="s">
        <v>77</v>
      </c>
      <c r="C23" s="8" t="s">
        <v>78</v>
      </c>
      <c r="D23" s="6" t="s">
        <v>60</v>
      </c>
      <c r="E23" s="9" t="n">
        <v>14999</v>
      </c>
      <c r="F23" s="8" t="s">
        <v>79</v>
      </c>
      <c r="G23" s="6" t="s">
        <v>17</v>
      </c>
      <c r="H23" s="10" t="n">
        <f aca="false">MROUND(E23*(1-$D$4),100)-1</f>
        <v>13799</v>
      </c>
      <c r="I23" s="8" t="s">
        <v>80</v>
      </c>
    </row>
    <row r="24" customFormat="false" ht="42" hidden="false" customHeight="true" outlineLevel="0" collapsed="false">
      <c r="A24" s="11" t="n">
        <v>18</v>
      </c>
      <c r="B24" s="12" t="s">
        <v>81</v>
      </c>
      <c r="C24" s="13" t="s">
        <v>82</v>
      </c>
      <c r="D24" s="11" t="s">
        <v>15</v>
      </c>
      <c r="E24" s="14" t="n">
        <v>9999</v>
      </c>
      <c r="F24" s="13" t="s">
        <v>83</v>
      </c>
      <c r="G24" s="11" t="s">
        <v>17</v>
      </c>
      <c r="H24" s="10" t="n">
        <f aca="false">MROUND(E24*(1-$D$4),100)-1</f>
        <v>9199</v>
      </c>
      <c r="I24" s="13" t="s">
        <v>84</v>
      </c>
    </row>
    <row r="25" customFormat="false" ht="42" hidden="false" customHeight="true" outlineLevel="0" collapsed="false">
      <c r="A25" s="6" t="n">
        <v>19</v>
      </c>
      <c r="B25" s="7" t="s">
        <v>85</v>
      </c>
      <c r="C25" s="8" t="s">
        <v>82</v>
      </c>
      <c r="D25" s="6" t="s">
        <v>86</v>
      </c>
      <c r="E25" s="9" t="n">
        <v>9999</v>
      </c>
      <c r="F25" s="8" t="s">
        <v>83</v>
      </c>
      <c r="G25" s="6" t="s">
        <v>17</v>
      </c>
      <c r="H25" s="10" t="n">
        <f aca="false">MROUND(E25*(1-$D$4),100)-1</f>
        <v>9199</v>
      </c>
      <c r="I25" s="8" t="s">
        <v>87</v>
      </c>
    </row>
    <row r="26" customFormat="false" ht="42" hidden="false" customHeight="true" outlineLevel="0" collapsed="false">
      <c r="A26" s="11" t="n">
        <v>20</v>
      </c>
      <c r="B26" s="12" t="s">
        <v>88</v>
      </c>
      <c r="C26" s="13" t="s">
        <v>82</v>
      </c>
      <c r="D26" s="11" t="s">
        <v>89</v>
      </c>
      <c r="E26" s="14" t="n">
        <v>11999</v>
      </c>
      <c r="F26" s="13" t="s">
        <v>90</v>
      </c>
      <c r="G26" s="11" t="s">
        <v>17</v>
      </c>
      <c r="H26" s="10" t="n">
        <f aca="false">MROUND(E26*(1-$D$4),100)-1</f>
        <v>10999</v>
      </c>
      <c r="I26" s="13" t="s">
        <v>91</v>
      </c>
    </row>
    <row r="27" customFormat="false" ht="42" hidden="false" customHeight="true" outlineLevel="0" collapsed="false">
      <c r="A27" s="6" t="n">
        <v>21</v>
      </c>
      <c r="B27" s="7" t="s">
        <v>92</v>
      </c>
      <c r="C27" s="8" t="s">
        <v>93</v>
      </c>
      <c r="D27" s="6" t="s">
        <v>94</v>
      </c>
      <c r="E27" s="9" t="n">
        <v>2999</v>
      </c>
      <c r="F27" s="8" t="s">
        <v>95</v>
      </c>
      <c r="G27" s="16" t="s">
        <v>29</v>
      </c>
      <c r="H27" s="10" t="n">
        <f aca="false">MROUND(E27*(1-$D$4),100)-1</f>
        <v>2799</v>
      </c>
      <c r="I27" s="8" t="s">
        <v>96</v>
      </c>
    </row>
    <row r="28" customFormat="false" ht="42" hidden="false" customHeight="true" outlineLevel="0" collapsed="false">
      <c r="A28" s="11" t="n">
        <v>22</v>
      </c>
      <c r="B28" s="12" t="s">
        <v>97</v>
      </c>
      <c r="C28" s="13" t="s">
        <v>93</v>
      </c>
      <c r="D28" s="11" t="s">
        <v>98</v>
      </c>
      <c r="E28" s="14" t="n">
        <v>4999</v>
      </c>
      <c r="F28" s="13" t="s">
        <v>99</v>
      </c>
      <c r="G28" s="15" t="s">
        <v>29</v>
      </c>
      <c r="H28" s="10" t="n">
        <f aca="false">MROUND(E28*(1-$D$4),100)-1</f>
        <v>4599</v>
      </c>
      <c r="I28" s="13" t="s">
        <v>100</v>
      </c>
    </row>
    <row r="29" customFormat="false" ht="42" hidden="false" customHeight="true" outlineLevel="0" collapsed="false">
      <c r="A29" s="6" t="n">
        <v>23</v>
      </c>
      <c r="B29" s="7" t="s">
        <v>101</v>
      </c>
      <c r="C29" s="8" t="s">
        <v>93</v>
      </c>
      <c r="D29" s="6" t="s">
        <v>15</v>
      </c>
      <c r="E29" s="9" t="n">
        <v>3999</v>
      </c>
      <c r="F29" s="8" t="s">
        <v>102</v>
      </c>
      <c r="G29" s="16" t="s">
        <v>29</v>
      </c>
      <c r="H29" s="10" t="n">
        <f aca="false">MROUND(E29*(1-$D$4),100)-1</f>
        <v>3699</v>
      </c>
      <c r="I29" s="8" t="s">
        <v>103</v>
      </c>
    </row>
    <row r="30" customFormat="false" ht="42" hidden="false" customHeight="true" outlineLevel="0" collapsed="false">
      <c r="A30" s="11" t="n">
        <v>24</v>
      </c>
      <c r="B30" s="12" t="s">
        <v>104</v>
      </c>
      <c r="C30" s="13" t="s">
        <v>105</v>
      </c>
      <c r="D30" s="11" t="s">
        <v>106</v>
      </c>
      <c r="E30" s="14" t="n">
        <v>499</v>
      </c>
      <c r="F30" s="13" t="s">
        <v>107</v>
      </c>
      <c r="G30" s="11" t="s">
        <v>17</v>
      </c>
      <c r="H30" s="10" t="n">
        <f aca="false">MROUND(E30*(1-$D$4),100)-1</f>
        <v>499</v>
      </c>
      <c r="I30" s="13" t="s">
        <v>108</v>
      </c>
    </row>
    <row r="32" customFormat="false" ht="15" hidden="false" customHeight="false" outlineLevel="0" collapsed="false">
      <c r="B32" s="17" t="s">
        <v>109</v>
      </c>
      <c r="E32" s="18" t="n">
        <f aca="false">AVERAGE(E7:E30)</f>
        <v>6603.16666666667</v>
      </c>
      <c r="H32" s="19" t="n">
        <f aca="false">AVERAGE(H7:H30)</f>
        <v>6078.16666666667</v>
      </c>
    </row>
    <row r="33" customFormat="false" ht="15" hidden="false" customHeight="false" outlineLevel="0" collapsed="false">
      <c r="B33" s="17" t="s">
        <v>110</v>
      </c>
      <c r="E33" s="20" t="str">
        <f aca="false">TEXT(MIN(E7:E30),"₹#,##0")&amp;" – "&amp;TEXT(MAX(E7:E30),"₹#,##0")</f>
        <v>₹499 – ₹15,999</v>
      </c>
      <c r="H33" s="20" t="str">
        <f aca="false">TEXT(MIN(H7:H30),"₹#,##0")&amp;" – "&amp;TEXT(MAX(H7:H30),"₹#,##0")</f>
        <v>₹499 – ₹14,699</v>
      </c>
    </row>
    <row r="35" customFormat="false" ht="15" hidden="false" customHeight="false" outlineLevel="0" collapsed="false">
      <c r="A35" s="21" t="s">
        <v>111</v>
      </c>
      <c r="B35" s="21"/>
      <c r="C35" s="21"/>
      <c r="D35" s="21"/>
      <c r="E35" s="21"/>
      <c r="F35" s="21"/>
      <c r="G35" s="21"/>
      <c r="H35" s="21"/>
      <c r="I35" s="21"/>
    </row>
    <row r="36" customFormat="false" ht="15" hidden="false" customHeight="true" outlineLevel="0" collapsed="false">
      <c r="A36" s="22" t="s">
        <v>112</v>
      </c>
      <c r="B36" s="22"/>
      <c r="C36" s="22"/>
      <c r="D36" s="22"/>
      <c r="E36" s="22"/>
      <c r="F36" s="22"/>
      <c r="G36" s="22"/>
      <c r="H36" s="22"/>
      <c r="I36" s="22"/>
    </row>
    <row r="37" customFormat="false" ht="22.35" hidden="false" customHeight="true" outlineLevel="0" collapsed="false">
      <c r="A37" s="22" t="s">
        <v>113</v>
      </c>
      <c r="B37" s="22"/>
      <c r="C37" s="22"/>
      <c r="D37" s="22"/>
      <c r="E37" s="22"/>
      <c r="F37" s="22"/>
      <c r="G37" s="22"/>
      <c r="H37" s="22"/>
      <c r="I37" s="22"/>
    </row>
    <row r="38" customFormat="false" ht="22.35" hidden="false" customHeight="true" outlineLevel="0" collapsed="false">
      <c r="A38" s="22" t="s">
        <v>114</v>
      </c>
      <c r="B38" s="22"/>
      <c r="C38" s="22"/>
      <c r="D38" s="22"/>
      <c r="E38" s="22"/>
      <c r="F38" s="22"/>
      <c r="G38" s="22"/>
      <c r="H38" s="22"/>
      <c r="I38" s="22"/>
    </row>
    <row r="39" customFormat="false" ht="15" hidden="false" customHeight="true" outlineLevel="0" collapsed="false">
      <c r="A39" s="22" t="s">
        <v>115</v>
      </c>
      <c r="B39" s="22"/>
      <c r="C39" s="22"/>
      <c r="D39" s="22"/>
      <c r="E39" s="22"/>
      <c r="F39" s="22"/>
      <c r="G39" s="22"/>
      <c r="H39" s="22"/>
      <c r="I39" s="22"/>
    </row>
    <row r="40" customFormat="false" ht="22.35" hidden="false" customHeight="true" outlineLevel="0" collapsed="false">
      <c r="A40" s="22" t="s">
        <v>116</v>
      </c>
      <c r="B40" s="22"/>
      <c r="C40" s="22"/>
      <c r="D40" s="22"/>
      <c r="E40" s="22"/>
      <c r="F40" s="22"/>
      <c r="G40" s="22"/>
      <c r="H40" s="22"/>
      <c r="I40" s="22"/>
    </row>
    <row r="41" customFormat="false" ht="15" hidden="false" customHeight="true" outlineLevel="0" collapsed="false">
      <c r="A41" s="22" t="s">
        <v>117</v>
      </c>
      <c r="B41" s="22"/>
      <c r="C41" s="22"/>
      <c r="D41" s="22"/>
      <c r="E41" s="22"/>
      <c r="F41" s="22"/>
      <c r="G41" s="22"/>
      <c r="H41" s="22"/>
      <c r="I41" s="22"/>
    </row>
  </sheetData>
  <mergeCells count="11">
    <mergeCell ref="A1:I1"/>
    <mergeCell ref="A2:I2"/>
    <mergeCell ref="A4:C4"/>
    <mergeCell ref="E4:I4"/>
    <mergeCell ref="A35:I35"/>
    <mergeCell ref="A36:I36"/>
    <mergeCell ref="A37:I37"/>
    <mergeCell ref="A38:I38"/>
    <mergeCell ref="A39:I39"/>
    <mergeCell ref="A40:I40"/>
    <mergeCell ref="A41:I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2026-09-11T09:26:52Z</dcterms:created>
  <dc:creator>openpyxl</dc:creator>
  <dc:description/>
  <dc:language>en-US</dc:language>
  <cp:lastModifiedBy/>
  <dcterms:modified xsi:type="dcterms:W3CDTF">2026-09-11T09:26:52Z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